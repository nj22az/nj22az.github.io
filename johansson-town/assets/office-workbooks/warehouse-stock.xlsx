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59db2cf55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ledger" sheetId="1" r:id="R61ee7c795050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7">
    <x:font>
      <x:sz val="11"/>
      <x:name val="Carlito"/>
    </x:font>
    <x:font>
      <x:sz val="11"/>
      <x:color rgb="FF29342F"/>
      <x:name val="Arial"/>
    </x:font>
    <x:font>
      <x:b/>
      <x:sz val="16"/>
      <x:color rgb="FF29342F"/>
      <x:name val="Arial"/>
    </x:font>
    <x:font>
      <x:i/>
      <x:sz val="11"/>
      <x:color rgb="FF66706A"/>
      <x:name val="Arial"/>
    </x:font>
    <x:font>
      <x:sz val="11"/>
      <x:color rgb="FF66706A"/>
      <x:name val="Arial"/>
    </x:font>
    <x:font>
      <x:b/>
      <x:sz val="11"/>
      <x:color rgb="FFFFFFFF"/>
      <x:name val="Arial"/>
    </x:font>
    <x:font>
      <x:sz val="11"/>
      <x:color rgb="FF245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2584E"/>
      </x:patternFill>
    </x:fill>
    <x:fill>
      <x:patternFill patternType="solid">
        <x:fgColor rgb="FFF3F7FA"/>
      </x:patternFill>
    </x:fill>
    <x:fill>
      <x:patternFill patternType="solid">
        <x:fgColor rgb="FFF1F2EC"/>
      </x:patternFill>
    </x:fill>
  </x:fills>
  <x:borders count="5">
    <x:border/>
    <x:border>
      <x:bottom style="thin">
        <x:color rgb="FFA1A99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left" vertical="center"/>
    </x:xf>
    <x:xf numFmtId="201" fontId="6" fillId="3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6E482A"/>
      </x:font>
      <x:fill>
        <x:patternFill patternType="solid">
          <x:bgColor rgb="FFF4E2B8"/>
        </x:patternFill>
      </x:fill>
    </x:dxf>
    <x:dxf>
      <x:font>
        <x:b/>
        <x:color rgb="FF8F3529"/>
      </x:font>
      <x:fill>
        <x:patternFill patternType="solid">
          <x:bgColor rgb="FFF6D7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b32bdb87449c6" /><Relationship Type="http://schemas.openxmlformats.org/officeDocument/2006/relationships/theme" Target="/xl/theme/theme1.xml" Id="R60e493b4944c46d4" /><Relationship Type="http://schemas.openxmlformats.org/officeDocument/2006/relationships/sharedStrings" Target="/xl/sharedStrings.xml" Id="Re6f0b186504a4efc" /><Relationship Type="http://schemas.openxmlformats.org/officeDocument/2006/relationships/worksheet" Target="/xl/worksheets/sheet1.xml" Id="R61ee7c7950504563" /></Relationships>
</file>

<file path=xl/tables/table1.xml><?xml version="1.0" encoding="utf-8"?>
<x:table xmlns:x="http://schemas.openxmlformats.org/spreadsheetml/2006/main" id="1" name="warehouse_stock" displayName="warehouse_stock" ref="A9:I29" headerRowCount="1" totalsRowCount="0" totalsRowShown="0">
  <x:autoFilter ref="A9:I29"/>
  <x:tableColumns count="9">
    <x:tableColumn id="1" name="Stock code"/>
    <x:tableColumn id="2" name="Item"/>
    <x:tableColumn id="3" name="Unit"/>
    <x:tableColumn id="4" name="Opening"/>
    <x:tableColumn id="5" name="Received"/>
    <x:tableColumn id="6" name="Issued"/>
    <x:tableColumn id="7" name="On hand"/>
    <x:tableColumn id="8" name="Minimum"/>
    <x:tableColumn id="9" name="Reorder q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a611da2c8c4552" /></Relationships>
</file>

<file path=xl/worksheets/sheet1.xml><?xml version="1.0" encoding="utf-8"?>
<x:worksheet xmlns:x="http://schemas.openxmlformats.org/spreadsheetml/2006/main">
  <x:sheetPr>
    <x:tabColor rgb="FF42584E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9" hidden="0" customWidth="1"/>
    <x:col min="2" max="2" width="29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Warehouse stock ledger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Johansson Town. Fictional records for 14 September 1988.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4" customHeight="1">
      <x:c r="A5" s="6" t="str">
        <x:v>Stock lines</x:v>
      </x:c>
      <x:c r="B5" s="2"/>
      <x:c r="C5" s="2"/>
      <x:c r="D5" s="6" t="str">
        <x:v>Lines to reorder</x:v>
      </x:c>
      <x:c r="E5" s="2"/>
      <x:c r="F5" s="2"/>
      <x:c r="G5" s="6" t="str">
        <x:v>Negative balances</x:v>
      </x:c>
      <x:c r="H5" s="2"/>
      <x:c r="I5" s="2"/>
    </x:row>
    <x:row r="6" ht="24" customHeight="1">
      <x:c r="A6" s="7" t="n">
        <x:f>COUNTA(A10:A29)</x:f>
        <x:v>6</x:v>
      </x:c>
      <x:c r="B6" s="2"/>
      <x:c r="C6" s="2"/>
      <x:c r="D6" s="7" t="n">
        <x:f>COUNTIFS(I10:I29,"&gt;0")</x:f>
        <x:v>3</x:v>
      </x:c>
      <x:c r="E6" s="2"/>
      <x:c r="F6" s="2"/>
      <x:c r="G6" s="7" t="n">
        <x:f>COUNTIFS(G10:G29,"&lt;0")</x:f>
        <x:v>0</x:v>
      </x:c>
      <x:c r="H6" s="2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4" t="str">
        <x:v>Blue cells are editable. Enter 0 for no stock. On hand and reorder quantities calculate automatically.</x:v>
      </x:c>
      <x:c r="B8" s="2"/>
      <x:c r="C8" s="2"/>
      <x:c r="D8" s="2"/>
      <x:c r="E8" s="2"/>
      <x:c r="F8" s="2"/>
      <x:c r="G8" s="2"/>
      <x:c r="H8" s="2"/>
      <x:c r="I8" s="2"/>
    </x:row>
    <x:row r="9" ht="30" customHeight="1">
      <x:c r="A9" s="13" t="str">
        <x:v>Stock code</x:v>
      </x:c>
      <x:c r="B9" s="14" t="str">
        <x:v>Item</x:v>
      </x:c>
      <x:c r="C9" s="14" t="str">
        <x:v>Unit</x:v>
      </x:c>
      <x:c r="D9" s="14" t="str">
        <x:v>Opening</x:v>
      </x:c>
      <x:c r="E9" s="14" t="str">
        <x:v>Received</x:v>
      </x:c>
      <x:c r="F9" s="14" t="str">
        <x:v>Issued</x:v>
      </x:c>
      <x:c r="G9" s="14" t="str">
        <x:v>On hand</x:v>
      </x:c>
      <x:c r="H9" s="14" t="str">
        <x:v>Minimum</x:v>
      </x:c>
      <x:c r="I9" s="15" t="str">
        <x:v>Reorder qty</x:v>
      </x:c>
    </x:row>
    <x:row r="10" ht="24" customHeight="1">
      <x:c r="A10" s="19" t="str">
        <x:v>WH-001</x:v>
      </x:c>
      <x:c r="B10" s="19" t="str">
        <x:v>Mooring line</x:v>
      </x:c>
      <x:c r="C10" s="19" t="str">
        <x:v>Coils</x:v>
      </x:c>
      <x:c r="D10" s="21" t="n">
        <x:v>8</x:v>
      </x:c>
      <x:c r="E10" s="21" t="n">
        <x:v>3</x:v>
      </x:c>
      <x:c r="F10" s="21" t="n">
        <x:v>7</x:v>
      </x:c>
      <x:c r="G10" s="24" t="n">
        <x:f>IF(A10="","",IF(COUNT(D10:F10)&lt;3,"",D10+E10-F10))</x:f>
        <x:v>4</x:v>
      </x:c>
      <x:c r="H10" s="21" t="n">
        <x:v>6</x:v>
      </x:c>
      <x:c r="I10" s="24" t="n">
        <x:f>IF(A10="","",IF(COUNT(G10:H10)&lt;2,"",MAX(0,H10-G10)))</x:f>
        <x:v>2</x:v>
      </x:c>
    </x:row>
    <x:row r="11" ht="24" customHeight="1">
      <x:c r="A11" s="19" t="str">
        <x:v>WH-002</x:v>
      </x:c>
      <x:c r="B11" s="19" t="str">
        <x:v>Rubber fenders</x:v>
      </x:c>
      <x:c r="C11" s="19" t="str">
        <x:v>Each</x:v>
      </x:c>
      <x:c r="D11" s="21" t="n">
        <x:v>12</x:v>
      </x:c>
      <x:c r="E11" s="21" t="n">
        <x:v>4</x:v>
      </x:c>
      <x:c r="F11" s="21" t="n">
        <x:v>3</x:v>
      </x:c>
      <x:c r="G11" s="24" t="n">
        <x:f>IF(A11="","",IF(COUNT(D11:F11)&lt;3,"",D11+E11-F11))</x:f>
        <x:v>13</x:v>
      </x:c>
      <x:c r="H11" s="21" t="n">
        <x:v>8</x:v>
      </x:c>
      <x:c r="I11" s="24" t="n">
        <x:f>IF(A11="","",IF(COUNT(G11:H11)&lt;2,"",MAX(0,H11-G11)))</x:f>
        <x:v>0</x:v>
      </x:c>
    </x:row>
    <x:row r="12" ht="24" customHeight="1">
      <x:c r="A12" s="19" t="str">
        <x:v>WH-003</x:v>
      </x:c>
      <x:c r="B12" s="19" t="str">
        <x:v>Fish boxes</x:v>
      </x:c>
      <x:c r="C12" s="19" t="str">
        <x:v>Each</x:v>
      </x:c>
      <x:c r="D12" s="21" t="n">
        <x:v>120</x:v>
      </x:c>
      <x:c r="E12" s="21" t="n">
        <x:v>40</x:v>
      </x:c>
      <x:c r="F12" s="21" t="n">
        <x:v>115</x:v>
      </x:c>
      <x:c r="G12" s="24" t="n">
        <x:f>IF(A12="","",IF(COUNT(D12:F12)&lt;3,"",D12+E12-F12))</x:f>
        <x:v>45</x:v>
      </x:c>
      <x:c r="H12" s="21" t="n">
        <x:v>60</x:v>
      </x:c>
      <x:c r="I12" s="24" t="n">
        <x:f>IF(A12="","",IF(COUNT(G12:H12)&lt;2,"",MAX(0,H12-G12)))</x:f>
        <x:v>15</x:v>
      </x:c>
    </x:row>
    <x:row r="13" ht="24" customHeight="1">
      <x:c r="A13" s="19" t="str">
        <x:v>WH-004</x:v>
      </x:c>
      <x:c r="B13" s="19" t="str">
        <x:v>Printer paper</x:v>
      </x:c>
      <x:c r="C13" s="19" t="str">
        <x:v>Reams</x:v>
      </x:c>
      <x:c r="D13" s="21" t="n">
        <x:v>9</x:v>
      </x:c>
      <x:c r="E13" s="21" t="n">
        <x:v>5</x:v>
      </x:c>
      <x:c r="F13" s="21" t="n">
        <x:v>4</x:v>
      </x:c>
      <x:c r="G13" s="24" t="n">
        <x:f>IF(A13="","",IF(COUNT(D13:F13)&lt;3,"",D13+E13-F13))</x:f>
        <x:v>10</x:v>
      </x:c>
      <x:c r="H13" s="21" t="n">
        <x:v>6</x:v>
      </x:c>
      <x:c r="I13" s="24" t="n">
        <x:f>IF(A13="","",IF(COUNT(G13:H13)&lt;2,"",MAX(0,H13-G13)))</x:f>
        <x:v>0</x:v>
      </x:c>
    </x:row>
    <x:row r="14" ht="24" customHeight="1">
      <x:c r="A14" s="19" t="str">
        <x:v>WH-005</x:v>
      </x:c>
      <x:c r="B14" s="19" t="str">
        <x:v>Work gloves</x:v>
      </x:c>
      <x:c r="C14" s="19" t="str">
        <x:v>Pairs</x:v>
      </x:c>
      <x:c r="D14" s="21" t="n">
        <x:v>24</x:v>
      </x:c>
      <x:c r="E14" s="21" t="n">
        <x:v>0</x:v>
      </x:c>
      <x:c r="F14" s="21" t="n">
        <x:v>18</x:v>
      </x:c>
      <x:c r="G14" s="24" t="n">
        <x:f>IF(A14="","",IF(COUNT(D14:F14)&lt;3,"",D14+E14-F14))</x:f>
        <x:v>6</x:v>
      </x:c>
      <x:c r="H14" s="21" t="n">
        <x:v>12</x:v>
      </x:c>
      <x:c r="I14" s="24" t="n">
        <x:f>IF(A14="","",IF(COUNT(G14:H14)&lt;2,"",MAX(0,H14-G14)))</x:f>
        <x:v>6</x:v>
      </x:c>
    </x:row>
    <x:row r="15" ht="24" customHeight="1">
      <x:c r="A15" s="19" t="str">
        <x:v>WH-006</x:v>
      </x:c>
      <x:c r="B15" s="19" t="str">
        <x:v>Packing tape</x:v>
      </x:c>
      <x:c r="C15" s="19" t="str">
        <x:v>Rolls</x:v>
      </x:c>
      <x:c r="D15" s="21" t="n">
        <x:v>15</x:v>
      </x:c>
      <x:c r="E15" s="21" t="n">
        <x:v>12</x:v>
      </x:c>
      <x:c r="F15" s="21" t="n">
        <x:v>8</x:v>
      </x:c>
      <x:c r="G15" s="24" t="n">
        <x:f>IF(A15="","",IF(COUNT(D15:F15)&lt;3,"",D15+E15-F15))</x:f>
        <x:v>19</x:v>
      </x:c>
      <x:c r="H15" s="21" t="n">
        <x:v>10</x:v>
      </x:c>
      <x:c r="I15" s="24" t="n">
        <x:f>IF(A15="","",IF(COUNT(G15:H15)&lt;2,"",MAX(0,H15-G15)))</x:f>
        <x:v>0</x:v>
      </x:c>
    </x:row>
    <x:row r="16" ht="24" customHeight="1">
      <x:c r="A16" s="19"/>
      <x:c r="B16" s="19"/>
      <x:c r="C16" s="19"/>
      <x:c r="D16" s="21"/>
      <x:c r="E16" s="21"/>
      <x:c r="F16" s="21"/>
      <x:c r="G16" s="24" t="str">
        <x:f>IF(A16="","",IF(COUNT(D16:F16)&lt;3,"",D16+E16-F16))</x:f>
      </x:c>
      <x:c r="H16" s="21"/>
      <x:c r="I16" s="24" t="str">
        <x:f>IF(A16="","",IF(COUNT(G16:H16)&lt;2,"",MAX(0,H16-G16)))</x:f>
      </x:c>
    </x:row>
    <x:row r="17" ht="24" customHeight="1">
      <x:c r="A17" s="19"/>
      <x:c r="B17" s="19"/>
      <x:c r="C17" s="19"/>
      <x:c r="D17" s="21"/>
      <x:c r="E17" s="21"/>
      <x:c r="F17" s="21"/>
      <x:c r="G17" s="24" t="str">
        <x:f>IF(A17="","",IF(COUNT(D17:F17)&lt;3,"",D17+E17-F17))</x:f>
      </x:c>
      <x:c r="H17" s="21"/>
      <x:c r="I17" s="24" t="str">
        <x:f>IF(A17="","",IF(COUNT(G17:H17)&lt;2,"",MAX(0,H17-G17)))</x:f>
      </x:c>
    </x:row>
    <x:row r="18" ht="24" customHeight="1">
      <x:c r="A18" s="19"/>
      <x:c r="B18" s="19"/>
      <x:c r="C18" s="19"/>
      <x:c r="D18" s="21"/>
      <x:c r="E18" s="21"/>
      <x:c r="F18" s="21"/>
      <x:c r="G18" s="24" t="str">
        <x:f>IF(A18="","",IF(COUNT(D18:F18)&lt;3,"",D18+E18-F18))</x:f>
      </x:c>
      <x:c r="H18" s="21"/>
      <x:c r="I18" s="24" t="str">
        <x:f>IF(A18="","",IF(COUNT(G18:H18)&lt;2,"",MAX(0,H18-G18)))</x:f>
      </x:c>
    </x:row>
    <x:row r="19" ht="24" customHeight="1">
      <x:c r="A19" s="19"/>
      <x:c r="B19" s="19"/>
      <x:c r="C19" s="19"/>
      <x:c r="D19" s="21"/>
      <x:c r="E19" s="21"/>
      <x:c r="F19" s="21"/>
      <x:c r="G19" s="24" t="str">
        <x:f>IF(A19="","",IF(COUNT(D19:F19)&lt;3,"",D19+E19-F19))</x:f>
      </x:c>
      <x:c r="H19" s="21"/>
      <x:c r="I19" s="24" t="str">
        <x:f>IF(A19="","",IF(COUNT(G19:H19)&lt;2,"",MAX(0,H19-G19)))</x:f>
      </x:c>
    </x:row>
    <x:row r="20" ht="24" customHeight="1">
      <x:c r="A20" s="19"/>
      <x:c r="B20" s="19"/>
      <x:c r="C20" s="19"/>
      <x:c r="D20" s="21"/>
      <x:c r="E20" s="21"/>
      <x:c r="F20" s="21"/>
      <x:c r="G20" s="24" t="str">
        <x:f>IF(A20="","",IF(COUNT(D20:F20)&lt;3,"",D20+E20-F20))</x:f>
      </x:c>
      <x:c r="H20" s="21"/>
      <x:c r="I20" s="24" t="str">
        <x:f>IF(A20="","",IF(COUNT(G20:H20)&lt;2,"",MAX(0,H20-G20)))</x:f>
      </x:c>
    </x:row>
    <x:row r="21" ht="24" customHeight="1">
      <x:c r="A21" s="19"/>
      <x:c r="B21" s="19"/>
      <x:c r="C21" s="19"/>
      <x:c r="D21" s="21"/>
      <x:c r="E21" s="21"/>
      <x:c r="F21" s="21"/>
      <x:c r="G21" s="24" t="str">
        <x:f>IF(A21="","",IF(COUNT(D21:F21)&lt;3,"",D21+E21-F21))</x:f>
      </x:c>
      <x:c r="H21" s="21"/>
      <x:c r="I21" s="24" t="str">
        <x:f>IF(A21="","",IF(COUNT(G21:H21)&lt;2,"",MAX(0,H21-G21)))</x:f>
      </x:c>
    </x:row>
    <x:row r="22" ht="24" customHeight="1">
      <x:c r="A22" s="19"/>
      <x:c r="B22" s="19"/>
      <x:c r="C22" s="19"/>
      <x:c r="D22" s="21"/>
      <x:c r="E22" s="21"/>
      <x:c r="F22" s="21"/>
      <x:c r="G22" s="24" t="str">
        <x:f>IF(A22="","",IF(COUNT(D22:F22)&lt;3,"",D22+E22-F22))</x:f>
      </x:c>
      <x:c r="H22" s="21"/>
      <x:c r="I22" s="24" t="str">
        <x:f>IF(A22="","",IF(COUNT(G22:H22)&lt;2,"",MAX(0,H22-G22)))</x:f>
      </x:c>
    </x:row>
    <x:row r="23" ht="24" customHeight="1">
      <x:c r="A23" s="19"/>
      <x:c r="B23" s="19"/>
      <x:c r="C23" s="19"/>
      <x:c r="D23" s="21"/>
      <x:c r="E23" s="21"/>
      <x:c r="F23" s="21"/>
      <x:c r="G23" s="24" t="str">
        <x:f>IF(A23="","",IF(COUNT(D23:F23)&lt;3,"",D23+E23-F23))</x:f>
      </x:c>
      <x:c r="H23" s="21"/>
      <x:c r="I23" s="24" t="str">
        <x:f>IF(A23="","",IF(COUNT(G23:H23)&lt;2,"",MAX(0,H23-G23)))</x:f>
      </x:c>
    </x:row>
    <x:row r="24" ht="24" customHeight="1">
      <x:c r="A24" s="19"/>
      <x:c r="B24" s="19"/>
      <x:c r="C24" s="19"/>
      <x:c r="D24" s="21"/>
      <x:c r="E24" s="21"/>
      <x:c r="F24" s="21"/>
      <x:c r="G24" s="24" t="str">
        <x:f>IF(A24="","",IF(COUNT(D24:F24)&lt;3,"",D24+E24-F24))</x:f>
      </x:c>
      <x:c r="H24" s="21"/>
      <x:c r="I24" s="24" t="str">
        <x:f>IF(A24="","",IF(COUNT(G24:H24)&lt;2,"",MAX(0,H24-G24)))</x:f>
      </x:c>
    </x:row>
    <x:row r="25" ht="24" customHeight="1">
      <x:c r="A25" s="19"/>
      <x:c r="B25" s="19"/>
      <x:c r="C25" s="19"/>
      <x:c r="D25" s="21"/>
      <x:c r="E25" s="21"/>
      <x:c r="F25" s="21"/>
      <x:c r="G25" s="24" t="str">
        <x:f>IF(A25="","",IF(COUNT(D25:F25)&lt;3,"",D25+E25-F25))</x:f>
      </x:c>
      <x:c r="H25" s="21"/>
      <x:c r="I25" s="24" t="str">
        <x:f>IF(A25="","",IF(COUNT(G25:H25)&lt;2,"",MAX(0,H25-G25)))</x:f>
      </x:c>
    </x:row>
    <x:row r="26" ht="24" customHeight="1">
      <x:c r="A26" s="19"/>
      <x:c r="B26" s="19"/>
      <x:c r="C26" s="19"/>
      <x:c r="D26" s="21"/>
      <x:c r="E26" s="21"/>
      <x:c r="F26" s="21"/>
      <x:c r="G26" s="24" t="str">
        <x:f>IF(A26="","",IF(COUNT(D26:F26)&lt;3,"",D26+E26-F26))</x:f>
      </x:c>
      <x:c r="H26" s="21"/>
      <x:c r="I26" s="24" t="str">
        <x:f>IF(A26="","",IF(COUNT(G26:H26)&lt;2,"",MAX(0,H26-G26)))</x:f>
      </x:c>
    </x:row>
    <x:row r="27" ht="24" customHeight="1">
      <x:c r="A27" s="19"/>
      <x:c r="B27" s="19"/>
      <x:c r="C27" s="19"/>
      <x:c r="D27" s="21"/>
      <x:c r="E27" s="21"/>
      <x:c r="F27" s="21"/>
      <x:c r="G27" s="24" t="str">
        <x:f>IF(A27="","",IF(COUNT(D27:F27)&lt;3,"",D27+E27-F27))</x:f>
      </x:c>
      <x:c r="H27" s="21"/>
      <x:c r="I27" s="24" t="str">
        <x:f>IF(A27="","",IF(COUNT(G27:H27)&lt;2,"",MAX(0,H27-G27)))</x:f>
      </x:c>
    </x:row>
    <x:row r="28" ht="24" customHeight="1">
      <x:c r="A28" s="19"/>
      <x:c r="B28" s="19"/>
      <x:c r="C28" s="19"/>
      <x:c r="D28" s="21"/>
      <x:c r="E28" s="21"/>
      <x:c r="F28" s="21"/>
      <x:c r="G28" s="24" t="str">
        <x:f>IF(A28="","",IF(COUNT(D28:F28)&lt;3,"",D28+E28-F28))</x:f>
      </x:c>
      <x:c r="H28" s="21"/>
      <x:c r="I28" s="24" t="str">
        <x:f>IF(A28="","",IF(COUNT(G28:H28)&lt;2,"",MAX(0,H28-G28)))</x:f>
      </x:c>
    </x:row>
    <x:row r="29" ht="24" customHeight="1">
      <x:c r="A29" s="19"/>
      <x:c r="B29" s="19"/>
      <x:c r="C29" s="19"/>
      <x:c r="D29" s="21"/>
      <x:c r="E29" s="21"/>
      <x:c r="F29" s="21"/>
      <x:c r="G29" s="24" t="str">
        <x:f>IF(A29="","",IF(COUNT(D29:F29)&lt;3,"",D29+E29-F29))</x:f>
      </x:c>
      <x:c r="H29" s="21"/>
      <x:c r="I29" s="24" t="str">
        <x:f>IF(A29="","",IF(COUNT(G29:H29)&lt;2,"",MAX(0,H29-G29)))</x:f>
      </x:c>
    </x:row>
  </x:sheetData>
  <x:conditionalFormatting sqref="I10:I29">
    <x:cfRule type="cellIs" dxfId="0" priority="1" operator="greaterThan">
      <x:formula>0</x:formula>
    </x:cfRule>
  </x:conditionalFormatting>
  <x:conditionalFormatting sqref="G10:G29">
    <x:cfRule type="cellIs" dxfId="1" priority="2" operator="lessThan">
      <x:formula>0</x:formula>
    </x:cfRule>
  </x:conditionalFormatting>
  <x:dataValidations count="4">
    <x:dataValidation type="whole" operator="greaterThanOrEqual" sqref="D10:D29">
      <x:formula1>0</x:formula1>
    </x:dataValidation>
    <x:dataValidation type="whole" operator="greaterThanOrEqual" sqref="E10:E29">
      <x:formula1>0</x:formula1>
    </x:dataValidation>
    <x:dataValidation type="whole" operator="greaterThanOrEqual" sqref="F10:F29">
      <x:formula1>0</x:formula1>
    </x:dataValidation>
    <x:dataValidation type="whole" operator="greaterThanOrEqual" sqref="H10:H2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a611da2c8c4552"/>
  </x:tableParts>
</x:worksheet>
</file>