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a8de94d72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rth register" sheetId="1" r:id="Ra17e74ac1679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@"/>
    <x:numFmt numFmtId="203" formatCode="d mmm hh:mm"/>
  </x:numFmts>
  <x:fonts count="7">
    <x:font>
      <x:sz val="11"/>
      <x:name val="Carlito"/>
    </x:font>
    <x:font>
      <x:sz val="11"/>
      <x:color rgb="FF29342F"/>
      <x:name val="Arial"/>
    </x:font>
    <x:font>
      <x:b/>
      <x:sz val="16"/>
      <x:color rgb="FF29342F"/>
      <x:name val="Arial"/>
    </x:font>
    <x:font>
      <x:i/>
      <x:sz val="11"/>
      <x:color rgb="FF66706A"/>
      <x:name val="Arial"/>
    </x:font>
    <x:font>
      <x:sz val="11"/>
      <x:color rgb="FF66706A"/>
      <x:name val="Arial"/>
    </x:font>
    <x:font>
      <x:b/>
      <x:sz val="11"/>
      <x:color rgb="FFFFFFFF"/>
      <x:name val="Arial"/>
    </x:font>
    <x:font>
      <x:sz val="11"/>
      <x:color rgb="FF245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2584E"/>
      </x:patternFill>
    </x:fill>
    <x:fill>
      <x:patternFill patternType="solid">
        <x:fgColor rgb="FFF3F7FA"/>
      </x:patternFill>
    </x:fill>
    <x:fill>
      <x:patternFill patternType="solid">
        <x:fgColor rgb="FFF1F2EC"/>
      </x:patternFill>
    </x:fill>
  </x:fills>
  <x:borders count="5">
    <x:border/>
    <x:border>
      <x:bottom style="thin">
        <x:color rgb="FFA1A99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center"/>
    </x:xf>
    <x:xf numFmtId="202" fontId="6" fillId="3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right" vertical="center"/>
    </x:xf>
    <x:xf numFmtId="203" fontId="6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01c577b334678" /><Relationship Type="http://schemas.openxmlformats.org/officeDocument/2006/relationships/theme" Target="/xl/theme/theme1.xml" Id="Ra8ea309e563c4eb2" /><Relationship Type="http://schemas.openxmlformats.org/officeDocument/2006/relationships/sharedStrings" Target="/xl/sharedStrings.xml" Id="Re0115890d2824f23" /><Relationship Type="http://schemas.openxmlformats.org/officeDocument/2006/relationships/worksheet" Target="/xl/worksheets/sheet1.xml" Id="Ra17e74ac16794102" /></Relationships>
</file>

<file path=xl/tables/table1.xml><?xml version="1.0" encoding="utf-8"?>
<x:table xmlns:x="http://schemas.openxmlformats.org/spreadsheetml/2006/main" id="1" name="berth_register" displayName="berth_register" ref="A9:H29" headerRowCount="1" totalsRowCount="0" totalsRowShown="0">
  <x:autoFilter ref="A9:H29"/>
  <x:tableColumns count="8">
    <x:tableColumn id="1" name="Call ID"/>
    <x:tableColumn id="2" name="Vessel"/>
    <x:tableColumn id="3" name="Berth"/>
    <x:tableColumn id="4" name="Arrival"/>
    <x:tableColumn id="5" name="Departure"/>
    <x:tableColumn id="6" name="Stay (hours)"/>
    <x:tableColumn id="7" name="Cargo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fd62c02544d57" /></Relationships>
</file>

<file path=xl/worksheets/sheet1.xml><?xml version="1.0" encoding="utf-8"?>
<x:worksheet xmlns:x="http://schemas.openxmlformats.org/spreadsheetml/2006/main">
  <x:sheetPr>
    <x:tabColor rgb="FF42584E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23" hidden="0" customWidth="1"/>
    <x:col min="5" max="5" width="23" hidden="0" customWidth="1"/>
    <x:col min="6" max="6" width="17" hidden="0" customWidth="1"/>
    <x:col min="7" max="7" width="27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Harbour berth register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Johansson Town. Fictional records for 14 September 1988.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5"/>
      <x:c r="B4" s="5"/>
      <x:c r="C4" s="5"/>
      <x:c r="D4" s="5"/>
      <x:c r="E4" s="5"/>
      <x:c r="F4" s="5"/>
      <x:c r="G4" s="5"/>
      <x:c r="H4" s="5"/>
    </x:row>
    <x:row r="5" ht="24" customHeight="1">
      <x:c r="A5" s="6" t="str">
        <x:v>Registered calls</x:v>
      </x:c>
      <x:c r="B5" s="2"/>
      <x:c r="C5" s="2"/>
      <x:c r="D5" s="6" t="str">
        <x:v>Alongside</x:v>
      </x:c>
      <x:c r="E5" s="2"/>
      <x:c r="F5" s="2"/>
      <x:c r="G5" s="6" t="str">
        <x:v>Scheduled berth hours</x:v>
      </x:c>
      <x:c r="H5" s="2"/>
    </x:row>
    <x:row r="6" ht="24" customHeight="1">
      <x:c r="A6" s="7" t="n">
        <x:f>COUNTA(A10:A29)</x:f>
        <x:v>6</x:v>
      </x:c>
      <x:c r="B6" s="2"/>
      <x:c r="C6" s="2"/>
      <x:c r="D6" s="7" t="n">
        <x:f>COUNTIFS(H10:H29,"Alongside")</x:f>
        <x:v>2</x:v>
      </x:c>
      <x:c r="E6" s="2"/>
      <x:c r="F6" s="2"/>
      <x:c r="G6" s="8" t="n">
        <x:f>SUM(F10:F29)</x:f>
        <x:v>52</x:v>
      </x:c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24" customHeight="1">
      <x:c r="A8" s="4" t="str">
        <x:v>Blue cells are editable. Use full dates and times. Stay hours calculate automatically.</x:v>
      </x:c>
      <x:c r="B8" s="2"/>
      <x:c r="C8" s="2"/>
      <x:c r="D8" s="2"/>
      <x:c r="E8" s="2"/>
      <x:c r="F8" s="2"/>
      <x:c r="G8" s="2"/>
      <x:c r="H8" s="2"/>
    </x:row>
    <x:row r="9" ht="30" customHeight="1">
      <x:c r="A9" s="14" t="str">
        <x:v>Call ID</x:v>
      </x:c>
      <x:c r="B9" s="15" t="str">
        <x:v>Vessel</x:v>
      </x:c>
      <x:c r="C9" s="15" t="str">
        <x:v>Berth</x:v>
      </x:c>
      <x:c r="D9" s="15" t="str">
        <x:v>Arrival</x:v>
      </x:c>
      <x:c r="E9" s="15" t="str">
        <x:v>Departure</x:v>
      </x:c>
      <x:c r="F9" s="15" t="str">
        <x:v>Stay (hours)</x:v>
      </x:c>
      <x:c r="G9" s="15" t="str">
        <x:v>Cargo</x:v>
      </x:c>
      <x:c r="H9" s="16" t="str">
        <x:v>Status</x:v>
      </x:c>
    </x:row>
    <x:row r="10" ht="24" customHeight="1">
      <x:c r="A10" s="20" t="str">
        <x:v>BR-8814-01</x:v>
      </x:c>
      <x:c r="B10" s="20" t="str">
        <x:v>Aoba Maru</x:v>
      </x:c>
      <x:c r="C10" s="20" t="str">
        <x:v>East quay 1</x:v>
      </x:c>
      <x:c r="D10" s="22" t="n">
        <x:v>32400.26388888889</x:v>
      </x:c>
      <x:c r="E10" s="22" t="n">
        <x:v>32400.38888888889</x:v>
      </x:c>
      <x:c r="F10" s="25" t="n">
        <x:f>IF(A10="","",IF(COUNT(D10:E10)&lt;2,"",ROUND((E10-D10)*24,2)))</x:f>
        <x:v>3</x:v>
      </x:c>
      <x:c r="G10" s="20" t="str">
        <x:v>Fish boxes</x:v>
      </x:c>
      <x:c r="H10" s="20" t="str">
        <x:v>Departed</x:v>
      </x:c>
    </x:row>
    <x:row r="11" ht="24" customHeight="1">
      <x:c r="A11" s="20" t="str">
        <x:v>BR-8814-02</x:v>
      </x:c>
      <x:c r="B11" s="20" t="str">
        <x:v>Harbour launch</x:v>
      </x:c>
      <x:c r="C11" s="20" t="str">
        <x:v>South jetty</x:v>
      </x:c>
      <x:c r="D11" s="22" t="n">
        <x:v>32400.354166666668</x:v>
      </x:c>
      <x:c r="E11" s="22" t="n">
        <x:v>32400.708333333332</x:v>
      </x:c>
      <x:c r="F11" s="25" t="n">
        <x:f>IF(A11="","",IF(COUNT(D11:E11)&lt;2,"",ROUND((E11-D11)*24,2)))</x:f>
        <x:v>8.5</x:v>
      </x:c>
      <x:c r="G11" s="20" t="str">
        <x:v>Service equipment</x:v>
      </x:c>
      <x:c r="H11" s="20" t="str">
        <x:v>Alongside</x:v>
      </x:c>
    </x:row>
    <x:row r="12" ht="24" customHeight="1">
      <x:c r="A12" s="20" t="str">
        <x:v>BR-8814-03</x:v>
      </x:c>
      <x:c r="B12" s="20" t="str">
        <x:v>Midori</x:v>
      </x:c>
      <x:c r="C12" s="20" t="str">
        <x:v>East quay 2</x:v>
      </x:c>
      <x:c r="D12" s="22" t="n">
        <x:v>32400.416666666668</x:v>
      </x:c>
      <x:c r="E12" s="22" t="n">
        <x:v>32400.729166666668</x:v>
      </x:c>
      <x:c r="F12" s="25" t="n">
        <x:f>IF(A12="","",IF(COUNT(D12:E12)&lt;2,"",ROUND((E12-D12)*24,2)))</x:f>
        <x:v>7.5</x:v>
      </x:c>
      <x:c r="G12" s="20" t="str">
        <x:v>General stores</x:v>
      </x:c>
      <x:c r="H12" s="20" t="str">
        <x:v>Alongside</x:v>
      </x:c>
    </x:row>
    <x:row r="13" ht="24" customHeight="1">
      <x:c r="A13" s="20" t="str">
        <x:v>BR-8814-04</x:v>
      </x:c>
      <x:c r="B13" s="20" t="str">
        <x:v>Shiosai</x:v>
      </x:c>
      <x:c r="C13" s="20" t="str">
        <x:v>East quay 1</x:v>
      </x:c>
      <x:c r="D13" s="22" t="n">
        <x:v>32400.708333333332</x:v>
      </x:c>
      <x:c r="E13" s="22" t="n">
        <x:v>32401.25</x:v>
      </x:c>
      <x:c r="F13" s="25" t="n">
        <x:f>IF(A13="","",IF(COUNT(D13:E13)&lt;2,"",ROUND((E13-D13)*24,2)))</x:f>
        <x:v>13</x:v>
      </x:c>
      <x:c r="G13" s="20" t="str">
        <x:v>Paper and tea</x:v>
      </x:c>
      <x:c r="H13" s="20" t="str">
        <x:v>Expected</x:v>
      </x:c>
    </x:row>
    <x:row r="14" ht="24" customHeight="1">
      <x:c r="A14" s="20" t="str">
        <x:v>BR-8814-05</x:v>
      </x:c>
      <x:c r="B14" s="20" t="str">
        <x:v>Mellosa</x:v>
      </x:c>
      <x:c r="C14" s="20" t="str">
        <x:v>Outer berth</x:v>
      </x:c>
      <x:c r="D14" s="22" t="n">
        <x:v>32400.770833333332</x:v>
      </x:c>
      <x:c r="E14" s="22" t="n">
        <x:v>32401.354166666668</x:v>
      </x:c>
      <x:c r="F14" s="25" t="n">
        <x:f>IF(A14="","",IF(COUNT(D14:E14)&lt;2,"",ROUND((E14-D14)*24,2)))</x:f>
        <x:v>14</x:v>
      </x:c>
      <x:c r="G14" s="20" t="str">
        <x:v>Workshop supplies</x:v>
      </x:c>
      <x:c r="H14" s="20" t="str">
        <x:v>Expected</x:v>
      </x:c>
    </x:row>
    <x:row r="15" ht="24" customHeight="1">
      <x:c r="A15" s="20" t="str">
        <x:v>BR-8814-06</x:v>
      </x:c>
      <x:c r="B15" s="20" t="str">
        <x:v>Nam Phuoc</x:v>
      </x:c>
      <x:c r="C15" s="20" t="str">
        <x:v>East quay 2</x:v>
      </x:c>
      <x:c r="D15" s="22" t="n">
        <x:v>32401.375</x:v>
      </x:c>
      <x:c r="E15" s="22" t="n">
        <x:v>32401.625</x:v>
      </x:c>
      <x:c r="F15" s="25" t="n">
        <x:f>IF(A15="","",IF(COUNT(D15:E15)&lt;2,"",ROUND((E15-D15)*24,2)))</x:f>
        <x:v>6</x:v>
      </x:c>
      <x:c r="G15" s="20" t="str">
        <x:v>Household goods</x:v>
      </x:c>
      <x:c r="H15" s="20" t="str">
        <x:v>Expected</x:v>
      </x:c>
    </x:row>
    <x:row r="16" ht="24" customHeight="1">
      <x:c r="A16" s="20"/>
      <x:c r="B16" s="20"/>
      <x:c r="C16" s="20"/>
      <x:c r="D16" s="22"/>
      <x:c r="E16" s="22"/>
      <x:c r="F16" s="25" t="str">
        <x:f>IF(A16="","",IF(COUNT(D16:E16)&lt;2,"",ROUND((E16-D16)*24,2)))</x:f>
      </x:c>
      <x:c r="G16" s="20"/>
      <x:c r="H16" s="20"/>
    </x:row>
    <x:row r="17" ht="24" customHeight="1">
      <x:c r="A17" s="20"/>
      <x:c r="B17" s="20"/>
      <x:c r="C17" s="20"/>
      <x:c r="D17" s="22"/>
      <x:c r="E17" s="22"/>
      <x:c r="F17" s="25" t="str">
        <x:f>IF(A17="","",IF(COUNT(D17:E17)&lt;2,"",ROUND((E17-D17)*24,2)))</x:f>
      </x:c>
      <x:c r="G17" s="20"/>
      <x:c r="H17" s="20"/>
    </x:row>
    <x:row r="18" ht="24" customHeight="1">
      <x:c r="A18" s="20"/>
      <x:c r="B18" s="20"/>
      <x:c r="C18" s="20"/>
      <x:c r="D18" s="22"/>
      <x:c r="E18" s="22"/>
      <x:c r="F18" s="25" t="str">
        <x:f>IF(A18="","",IF(COUNT(D18:E18)&lt;2,"",ROUND((E18-D18)*24,2)))</x:f>
      </x:c>
      <x:c r="G18" s="20"/>
      <x:c r="H18" s="20"/>
    </x:row>
    <x:row r="19" ht="24" customHeight="1">
      <x:c r="A19" s="20"/>
      <x:c r="B19" s="20"/>
      <x:c r="C19" s="20"/>
      <x:c r="D19" s="22"/>
      <x:c r="E19" s="22"/>
      <x:c r="F19" s="25" t="str">
        <x:f>IF(A19="","",IF(COUNT(D19:E19)&lt;2,"",ROUND((E19-D19)*24,2)))</x:f>
      </x:c>
      <x:c r="G19" s="20"/>
      <x:c r="H19" s="20"/>
    </x:row>
    <x:row r="20" ht="24" customHeight="1">
      <x:c r="A20" s="20"/>
      <x:c r="B20" s="20"/>
      <x:c r="C20" s="20"/>
      <x:c r="D20" s="22"/>
      <x:c r="E20" s="22"/>
      <x:c r="F20" s="25" t="str">
        <x:f>IF(A20="","",IF(COUNT(D20:E20)&lt;2,"",ROUND((E20-D20)*24,2)))</x:f>
      </x:c>
      <x:c r="G20" s="20"/>
      <x:c r="H20" s="20"/>
    </x:row>
    <x:row r="21" ht="24" customHeight="1">
      <x:c r="A21" s="20"/>
      <x:c r="B21" s="20"/>
      <x:c r="C21" s="20"/>
      <x:c r="D21" s="22"/>
      <x:c r="E21" s="22"/>
      <x:c r="F21" s="25" t="str">
        <x:f>IF(A21="","",IF(COUNT(D21:E21)&lt;2,"",ROUND((E21-D21)*24,2)))</x:f>
      </x:c>
      <x:c r="G21" s="20"/>
      <x:c r="H21" s="20"/>
    </x:row>
    <x:row r="22" ht="24" customHeight="1">
      <x:c r="A22" s="20"/>
      <x:c r="B22" s="20"/>
      <x:c r="C22" s="20"/>
      <x:c r="D22" s="22"/>
      <x:c r="E22" s="22"/>
      <x:c r="F22" s="25" t="str">
        <x:f>IF(A22="","",IF(COUNT(D22:E22)&lt;2,"",ROUND((E22-D22)*24,2)))</x:f>
      </x:c>
      <x:c r="G22" s="20"/>
      <x:c r="H22" s="20"/>
    </x:row>
    <x:row r="23" ht="24" customHeight="1">
      <x:c r="A23" s="20"/>
      <x:c r="B23" s="20"/>
      <x:c r="C23" s="20"/>
      <x:c r="D23" s="22"/>
      <x:c r="E23" s="22"/>
      <x:c r="F23" s="25" t="str">
        <x:f>IF(A23="","",IF(COUNT(D23:E23)&lt;2,"",ROUND((E23-D23)*24,2)))</x:f>
      </x:c>
      <x:c r="G23" s="20"/>
      <x:c r="H23" s="20"/>
    </x:row>
    <x:row r="24" ht="24" customHeight="1">
      <x:c r="A24" s="20"/>
      <x:c r="B24" s="20"/>
      <x:c r="C24" s="20"/>
      <x:c r="D24" s="22"/>
      <x:c r="E24" s="22"/>
      <x:c r="F24" s="25" t="str">
        <x:f>IF(A24="","",IF(COUNT(D24:E24)&lt;2,"",ROUND((E24-D24)*24,2)))</x:f>
      </x:c>
      <x:c r="G24" s="20"/>
      <x:c r="H24" s="20"/>
    </x:row>
    <x:row r="25" ht="24" customHeight="1">
      <x:c r="A25" s="20"/>
      <x:c r="B25" s="20"/>
      <x:c r="C25" s="20"/>
      <x:c r="D25" s="22"/>
      <x:c r="E25" s="22"/>
      <x:c r="F25" s="25" t="str">
        <x:f>IF(A25="","",IF(COUNT(D25:E25)&lt;2,"",ROUND((E25-D25)*24,2)))</x:f>
      </x:c>
      <x:c r="G25" s="20"/>
      <x:c r="H25" s="20"/>
    </x:row>
    <x:row r="26" ht="24" customHeight="1">
      <x:c r="A26" s="20"/>
      <x:c r="B26" s="20"/>
      <x:c r="C26" s="20"/>
      <x:c r="D26" s="22"/>
      <x:c r="E26" s="22"/>
      <x:c r="F26" s="25" t="str">
        <x:f>IF(A26="","",IF(COUNT(D26:E26)&lt;2,"",ROUND((E26-D26)*24,2)))</x:f>
      </x:c>
      <x:c r="G26" s="20"/>
      <x:c r="H26" s="20"/>
    </x:row>
    <x:row r="27" ht="24" customHeight="1">
      <x:c r="A27" s="20"/>
      <x:c r="B27" s="20"/>
      <x:c r="C27" s="20"/>
      <x:c r="D27" s="22"/>
      <x:c r="E27" s="22"/>
      <x:c r="F27" s="25" t="str">
        <x:f>IF(A27="","",IF(COUNT(D27:E27)&lt;2,"",ROUND((E27-D27)*24,2)))</x:f>
      </x:c>
      <x:c r="G27" s="20"/>
      <x:c r="H27" s="20"/>
    </x:row>
    <x:row r="28" ht="24" customHeight="1">
      <x:c r="A28" s="20"/>
      <x:c r="B28" s="20"/>
      <x:c r="C28" s="20"/>
      <x:c r="D28" s="22"/>
      <x:c r="E28" s="22"/>
      <x:c r="F28" s="25" t="str">
        <x:f>IF(A28="","",IF(COUNT(D28:E28)&lt;2,"",ROUND((E28-D28)*24,2)))</x:f>
      </x:c>
      <x:c r="G28" s="20"/>
      <x:c r="H28" s="20"/>
    </x:row>
    <x:row r="29" ht="24" customHeight="1">
      <x:c r="A29" s="20"/>
      <x:c r="B29" s="20"/>
      <x:c r="C29" s="20"/>
      <x:c r="D29" s="22"/>
      <x:c r="E29" s="22"/>
      <x:c r="F29" s="25" t="str">
        <x:f>IF(A29="","",IF(COUNT(D29:E29)&lt;2,"",ROUND((E29-D29)*24,2)))</x:f>
      </x:c>
      <x:c r="G29" s="20"/>
      <x:c r="H29" s="20"/>
    </x:row>
  </x:sheetData>
  <x:dataValidations count="1">
    <x:dataValidation type="list" sqref="H10:H29">
      <x:formula1>"Expected,Alongside,Departed"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fd62c02544d57"/>
  </x:tableParts>
</x:worksheet>
</file>