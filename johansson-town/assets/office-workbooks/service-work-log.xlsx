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144389276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og" sheetId="1" r:id="Rf58dc09d1054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 mmm yyyy"/>
    <x:numFmt numFmtId="201" formatCode="#,##0"/>
    <x:numFmt numFmtId="202" formatCode="@"/>
    <x:numFmt numFmtId="203" formatCode="0.00"/>
  </x:numFmts>
  <x:fonts count="7">
    <x:font>
      <x:sz val="11"/>
      <x:name val="Carlito"/>
    </x:font>
    <x:font>
      <x:sz val="11"/>
      <x:color rgb="FF29342F"/>
      <x:name val="Arial"/>
    </x:font>
    <x:font>
      <x:b/>
      <x:sz val="16"/>
      <x:color rgb="FF29342F"/>
      <x:name val="Arial"/>
    </x:font>
    <x:font>
      <x:i/>
      <x:sz val="11"/>
      <x:color rgb="FF66706A"/>
      <x:name val="Arial"/>
    </x:font>
    <x:font>
      <x:sz val="11"/>
      <x:color rgb="FF66706A"/>
      <x:name val="Arial"/>
    </x:font>
    <x:font>
      <x:b/>
      <x:sz val="11"/>
      <x:color rgb="FFFFFFFF"/>
      <x:name val="Arial"/>
    </x:font>
    <x:font>
      <x:sz val="11"/>
      <x:color rgb="FF245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2584E"/>
      </x:patternFill>
    </x:fill>
    <x:fill>
      <x:patternFill patternType="solid">
        <x:fgColor rgb="FFF3F7FA"/>
      </x:patternFill>
    </x:fill>
    <x:fill>
      <x:patternFill patternType="solid">
        <x:fgColor rgb="FFF1F2EC"/>
      </x:patternFill>
    </x:fill>
  </x:fills>
  <x:borders count="5">
    <x:border/>
    <x:border>
      <x:bottom style="thin">
        <x:color rgb="FFA1A99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center"/>
    </x:xf>
    <x:xf numFmtId="202" fontId="6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2" fontId="1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6E482A"/>
      </x:font>
      <x:fill>
        <x:patternFill patternType="solid">
          <x:bgColor rgb="FFF4E2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a506ae18845aa" /><Relationship Type="http://schemas.openxmlformats.org/officeDocument/2006/relationships/theme" Target="/xl/theme/theme1.xml" Id="Ra431946bb9224a41" /><Relationship Type="http://schemas.openxmlformats.org/officeDocument/2006/relationships/sharedStrings" Target="/xl/sharedStrings.xml" Id="R448934bdee974ed4" /><Relationship Type="http://schemas.openxmlformats.org/officeDocument/2006/relationships/worksheet" Target="/xl/worksheets/sheet1.xml" Id="Rf58dc09d105446da" /></Relationships>
</file>

<file path=xl/tables/table1.xml><?xml version="1.0" encoding="utf-8"?>
<x:table xmlns:x="http://schemas.openxmlformats.org/spreadsheetml/2006/main" id="1" name="service_work_log" displayName="service_work_log" ref="A9:J29" headerRowCount="1" totalsRowCount="0" totalsRowShown="0">
  <x:autoFilter ref="A9:J29"/>
  <x:tableColumns count="10">
    <x:tableColumn id="1" name="Job ID"/>
    <x:tableColumn id="2" name="Equipment"/>
    <x:tableColumn id="3" name="Work requested"/>
    <x:tableColumn id="4" name="Owner"/>
    <x:tableColumn id="5" name="Due date"/>
    <x:tableColumn id="6" name="Planned hours"/>
    <x:tableColumn id="7" name="Worked hours"/>
    <x:tableColumn id="8" name="Hours left"/>
    <x:tableColumn id="9" name="Closed date"/>
    <x:tableColumn id="10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cfce381674086" /></Relationships>
</file>

<file path=xl/worksheets/sheet1.xml><?xml version="1.0" encoding="utf-8"?>
<x:worksheet xmlns:x="http://schemas.openxmlformats.org/spreadsheetml/2006/main">
  <x:sheetPr>
    <x:tabColor rgb="FF42584E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9" hidden="0" customWidth="1"/>
    <x:col min="2" max="2" width="24" hidden="0" customWidth="1"/>
    <x:col min="3" max="3" width="35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  <x:col min="8" max="8" width="17" hidden="0" customWidth="1"/>
    <x:col min="9" max="9" width="19" hidden="0" customWidth="1"/>
    <x:col min="10" max="1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Marine service work 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Johansson Town. Fictional records for 14 September 1988.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4" customHeight="1">
      <x:c r="A5" s="6" t="str">
        <x:v>Review date</x:v>
      </x:c>
      <x:c r="B5" s="2"/>
      <x:c r="C5" s="2"/>
      <x:c r="D5" s="6" t="str">
        <x:v>Unclosed jobs</x:v>
      </x:c>
      <x:c r="E5" s="2"/>
      <x:c r="F5" s="2"/>
      <x:c r="G5" s="6" t="str">
        <x:v>Overdue jobs</x:v>
      </x:c>
      <x:c r="H5" s="2"/>
      <x:c r="I5" s="2"/>
      <x:c r="J5" s="2"/>
    </x:row>
    <x:row r="6" ht="24" customHeight="1">
      <x:c r="A6" s="7" t="n">
        <x:v>32400</x:v>
      </x:c>
      <x:c r="B6" s="2"/>
      <x:c r="C6" s="2"/>
      <x:c r="D6" s="8" t="n">
        <x:f>COUNTA(A10:A29)-COUNTIFS(J10:J29,"Closed")</x:f>
        <x:v>5</x:v>
      </x:c>
      <x:c r="E6" s="2"/>
      <x:c r="F6" s="2"/>
      <x:c r="G6" s="8" t="n">
        <x:f>COUNTIFS(J10:J29,"Overdue")</x:f>
        <x:v>1</x:v>
      </x:c>
      <x:c r="H6" s="2"/>
      <x:c r="I6" s="2"/>
      <x:c r="J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4" t="str">
        <x:v>Blue cells are editable. Enter 0 for no hours. Add a closed date only when the job is finished.</x:v>
      </x:c>
      <x:c r="B8" s="2"/>
      <x:c r="C8" s="2"/>
      <x:c r="D8" s="2"/>
      <x:c r="E8" s="2"/>
      <x:c r="F8" s="2"/>
      <x:c r="G8" s="2"/>
      <x:c r="H8" s="2"/>
      <x:c r="I8" s="2"/>
      <x:c r="J8" s="2"/>
    </x:row>
    <x:row r="9" ht="30" customHeight="1">
      <x:c r="A9" s="14" t="str">
        <x:v>Job ID</x:v>
      </x:c>
      <x:c r="B9" s="15" t="str">
        <x:v>Equipment</x:v>
      </x:c>
      <x:c r="C9" s="15" t="str">
        <x:v>Work requested</x:v>
      </x:c>
      <x:c r="D9" s="15" t="str">
        <x:v>Owner</x:v>
      </x:c>
      <x:c r="E9" s="15" t="str">
        <x:v>Due date</x:v>
      </x:c>
      <x:c r="F9" s="15" t="str">
        <x:v>Planned hours</x:v>
      </x:c>
      <x:c r="G9" s="15" t="str">
        <x:v>Worked hours</x:v>
      </x:c>
      <x:c r="H9" s="15" t="str">
        <x:v>Hours left</x:v>
      </x:c>
      <x:c r="I9" s="15" t="str">
        <x:v>Closed date</x:v>
      </x:c>
      <x:c r="J9" s="16" t="str">
        <x:v>State</x:v>
      </x:c>
    </x:row>
    <x:row r="10" ht="24" customHeight="1">
      <x:c r="A10" s="20" t="str">
        <x:v>SV-001</x:v>
      </x:c>
      <x:c r="B10" s="20" t="str">
        <x:v>Quay light 2</x:v>
      </x:c>
      <x:c r="C10" s="20" t="str">
        <x:v>Replace lamp and test</x:v>
      </x:c>
      <x:c r="D10" s="20" t="str">
        <x:v>Tetsuo</x:v>
      </x:c>
      <x:c r="E10" s="22" t="n">
        <x:v>32399</x:v>
      </x:c>
      <x:c r="F10" s="23" t="n">
        <x:v>2</x:v>
      </x:c>
      <x:c r="G10" s="23" t="n">
        <x:v>1</x:v>
      </x:c>
      <x:c r="H10" s="26" t="n">
        <x:f>IF(A10="","",IF(COUNT(F10:G10)&lt;2,"",MAX(0,F10-G10)))</x:f>
        <x:v>1</x:v>
      </x:c>
      <x:c r="I10" s="22"/>
      <x:c r="J10" s="28" t="str">
        <x:f>IF(A10="","",IF(I10&lt;&gt;"","Closed",IF(E10="","Set due date",IF(E10&lt;$A$6,"Overdue","Open"))))</x:f>
        <x:v>Overdue</x:v>
      </x:c>
    </x:row>
    <x:row r="11" ht="24" customHeight="1">
      <x:c r="A11" s="20" t="str">
        <x:v>SV-002</x:v>
      </x:c>
      <x:c r="B11" s="20" t="str">
        <x:v>Harbour launch</x:v>
      </x:c>
      <x:c r="C11" s="20" t="str">
        <x:v>Check instrument panel</x:v>
      </x:c>
      <x:c r="D11" s="20" t="str">
        <x:v>Kenji</x:v>
      </x:c>
      <x:c r="E11" s="22" t="n">
        <x:v>32400</x:v>
      </x:c>
      <x:c r="F11" s="23" t="n">
        <x:v>4</x:v>
      </x:c>
      <x:c r="G11" s="23" t="n">
        <x:v>2.5</x:v>
      </x:c>
      <x:c r="H11" s="26" t="n">
        <x:f>IF(A11="","",IF(COUNT(F11:G11)&lt;2,"",MAX(0,F11-G11)))</x:f>
        <x:v>1.5</x:v>
      </x:c>
      <x:c r="I11" s="22"/>
      <x:c r="J11" s="28" t="str">
        <x:f>IF(A11="","",IF(I11&lt;&gt;"","Closed",IF(E11="","Set due date",IF(E11&lt;$A$6,"Overdue","Open"))))</x:f>
        <x:v>Open</x:v>
      </x:c>
    </x:row>
    <x:row r="12" ht="24" customHeight="1">
      <x:c r="A12" s="20" t="str">
        <x:v>SV-003</x:v>
      </x:c>
      <x:c r="B12" s="20" t="str">
        <x:v>Office printer</x:v>
      </x:c>
      <x:c r="C12" s="20" t="str">
        <x:v>Clean feed rollers</x:v>
      </x:c>
      <x:c r="D12" s="20" t="str">
        <x:v>Tetsuo</x:v>
      </x:c>
      <x:c r="E12" s="22" t="n">
        <x:v>32400</x:v>
      </x:c>
      <x:c r="F12" s="23" t="n">
        <x:v>1.5</x:v>
      </x:c>
      <x:c r="G12" s="23" t="n">
        <x:v>1.5</x:v>
      </x:c>
      <x:c r="H12" s="26" t="n">
        <x:f>IF(A12="","",IF(COUNT(F12:G12)&lt;2,"",MAX(0,F12-G12)))</x:f>
        <x:v>0</x:v>
      </x:c>
      <x:c r="I12" s="22" t="n">
        <x:v>32400</x:v>
      </x:c>
      <x:c r="J12" s="28" t="str">
        <x:f>IF(A12="","",IF(I12&lt;&gt;"","Closed",IF(E12="","Set due date",IF(E12&lt;$A$6,"Overdue","Open"))))</x:f>
        <x:v>Closed</x:v>
      </x:c>
    </x:row>
    <x:row r="13" ht="24" customHeight="1">
      <x:c r="A13" s="20" t="str">
        <x:v>SV-004</x:v>
      </x:c>
      <x:c r="B13" s="20" t="str">
        <x:v>Warehouse trolley</x:v>
      </x:c>
      <x:c r="C13" s="20" t="str">
        <x:v>Replace wheel bearing</x:v>
      </x:c>
      <x:c r="D13" s="20" t="str">
        <x:v>Kenji</x:v>
      </x:c>
      <x:c r="E13" s="22" t="n">
        <x:v>32402</x:v>
      </x:c>
      <x:c r="F13" s="23" t="n">
        <x:v>3</x:v>
      </x:c>
      <x:c r="G13" s="23" t="n">
        <x:v>0</x:v>
      </x:c>
      <x:c r="H13" s="26" t="n">
        <x:f>IF(A13="","",IF(COUNT(F13:G13)&lt;2,"",MAX(0,F13-G13)))</x:f>
        <x:v>3</x:v>
      </x:c>
      <x:c r="I13" s="22"/>
      <x:c r="J13" s="28" t="str">
        <x:f>IF(A13="","",IF(I13&lt;&gt;"","Closed",IF(E13="","Set due date",IF(E13&lt;$A$6,"Overdue","Open"))))</x:f>
        <x:v>Open</x:v>
      </x:c>
    </x:row>
    <x:row r="14" ht="24" customHeight="1">
      <x:c r="A14" s="20" t="str">
        <x:v>SV-005</x:v>
      </x:c>
      <x:c r="B14" s="20" t="str">
        <x:v>Vessel records</x:v>
      </x:c>
      <x:c r="C14" s="20" t="str">
        <x:v>File service certificates</x:v>
      </x:c>
      <x:c r="D14" s="20" t="str">
        <x:v>Harbour master</x:v>
      </x:c>
      <x:c r="E14" s="22" t="n">
        <x:v>32401</x:v>
      </x:c>
      <x:c r="F14" s="23" t="n">
        <x:v>2</x:v>
      </x:c>
      <x:c r="G14" s="23" t="n">
        <x:v>1</x:v>
      </x:c>
      <x:c r="H14" s="26" t="n">
        <x:f>IF(A14="","",IF(COUNT(F14:G14)&lt;2,"",MAX(0,F14-G14)))</x:f>
        <x:v>1</x:v>
      </x:c>
      <x:c r="I14" s="22"/>
      <x:c r="J14" s="28" t="str">
        <x:f>IF(A14="","",IF(I14&lt;&gt;"","Closed",IF(E14="","Set due date",IF(E14&lt;$A$6,"Overdue","Open"))))</x:f>
        <x:v>Open</x:v>
      </x:c>
    </x:row>
    <x:row r="15" ht="24" customHeight="1">
      <x:c r="A15" s="20" t="str">
        <x:v>SV-006</x:v>
      </x:c>
      <x:c r="B15" s="20" t="str">
        <x:v>Quay hand pump</x:v>
      </x:c>
      <x:c r="C15" s="20" t="str">
        <x:v>Inspect seals</x:v>
      </x:c>
      <x:c r="D15" s="20" t="str">
        <x:v>Kenji</x:v>
      </x:c>
      <x:c r="E15" s="22" t="n">
        <x:v>32403</x:v>
      </x:c>
      <x:c r="F15" s="23" t="n">
        <x:v>2.5</x:v>
      </x:c>
      <x:c r="G15" s="23" t="n">
        <x:v>0</x:v>
      </x:c>
      <x:c r="H15" s="26" t="n">
        <x:f>IF(A15="","",IF(COUNT(F15:G15)&lt;2,"",MAX(0,F15-G15)))</x:f>
        <x:v>2.5</x:v>
      </x:c>
      <x:c r="I15" s="22"/>
      <x:c r="J15" s="28" t="str">
        <x:f>IF(A15="","",IF(I15&lt;&gt;"","Closed",IF(E15="","Set due date",IF(E15&lt;$A$6,"Overdue","Open"))))</x:f>
        <x:v>Open</x:v>
      </x:c>
    </x:row>
    <x:row r="16" ht="24" customHeight="1">
      <x:c r="A16" s="20"/>
      <x:c r="B16" s="20"/>
      <x:c r="C16" s="20"/>
      <x:c r="D16" s="20"/>
      <x:c r="E16" s="22"/>
      <x:c r="F16" s="23"/>
      <x:c r="G16" s="23"/>
      <x:c r="H16" s="26" t="str">
        <x:f>IF(A16="","",IF(COUNT(F16:G16)&lt;2,"",MAX(0,F16-G16)))</x:f>
      </x:c>
      <x:c r="I16" s="22"/>
      <x:c r="J16" s="28" t="str">
        <x:f>IF(A16="","",IF(I16&lt;&gt;"","Closed",IF(E16="","Set due date",IF(E16&lt;$A$6,"Overdue","Open"))))</x:f>
      </x:c>
    </x:row>
    <x:row r="17" ht="24" customHeight="1">
      <x:c r="A17" s="20"/>
      <x:c r="B17" s="20"/>
      <x:c r="C17" s="20"/>
      <x:c r="D17" s="20"/>
      <x:c r="E17" s="22"/>
      <x:c r="F17" s="23"/>
      <x:c r="G17" s="23"/>
      <x:c r="H17" s="26" t="str">
        <x:f>IF(A17="","",IF(COUNT(F17:G17)&lt;2,"",MAX(0,F17-G17)))</x:f>
      </x:c>
      <x:c r="I17" s="22"/>
      <x:c r="J17" s="28" t="str">
        <x:f>IF(A17="","",IF(I17&lt;&gt;"","Closed",IF(E17="","Set due date",IF(E17&lt;$A$6,"Overdue","Open"))))</x:f>
      </x:c>
    </x:row>
    <x:row r="18" ht="24" customHeight="1">
      <x:c r="A18" s="20"/>
      <x:c r="B18" s="20"/>
      <x:c r="C18" s="20"/>
      <x:c r="D18" s="20"/>
      <x:c r="E18" s="22"/>
      <x:c r="F18" s="23"/>
      <x:c r="G18" s="23"/>
      <x:c r="H18" s="26" t="str">
        <x:f>IF(A18="","",IF(COUNT(F18:G18)&lt;2,"",MAX(0,F18-G18)))</x:f>
      </x:c>
      <x:c r="I18" s="22"/>
      <x:c r="J18" s="28" t="str">
        <x:f>IF(A18="","",IF(I18&lt;&gt;"","Closed",IF(E18="","Set due date",IF(E18&lt;$A$6,"Overdue","Open"))))</x:f>
      </x:c>
    </x:row>
    <x:row r="19" ht="24" customHeight="1">
      <x:c r="A19" s="20"/>
      <x:c r="B19" s="20"/>
      <x:c r="C19" s="20"/>
      <x:c r="D19" s="20"/>
      <x:c r="E19" s="22"/>
      <x:c r="F19" s="23"/>
      <x:c r="G19" s="23"/>
      <x:c r="H19" s="26" t="str">
        <x:f>IF(A19="","",IF(COUNT(F19:G19)&lt;2,"",MAX(0,F19-G19)))</x:f>
      </x:c>
      <x:c r="I19" s="22"/>
      <x:c r="J19" s="28" t="str">
        <x:f>IF(A19="","",IF(I19&lt;&gt;"","Closed",IF(E19="","Set due date",IF(E19&lt;$A$6,"Overdue","Open"))))</x:f>
      </x:c>
    </x:row>
    <x:row r="20" ht="24" customHeight="1">
      <x:c r="A20" s="20"/>
      <x:c r="B20" s="20"/>
      <x:c r="C20" s="20"/>
      <x:c r="D20" s="20"/>
      <x:c r="E20" s="22"/>
      <x:c r="F20" s="23"/>
      <x:c r="G20" s="23"/>
      <x:c r="H20" s="26" t="str">
        <x:f>IF(A20="","",IF(COUNT(F20:G20)&lt;2,"",MAX(0,F20-G20)))</x:f>
      </x:c>
      <x:c r="I20" s="22"/>
      <x:c r="J20" s="28" t="str">
        <x:f>IF(A20="","",IF(I20&lt;&gt;"","Closed",IF(E20="","Set due date",IF(E20&lt;$A$6,"Overdue","Open"))))</x:f>
      </x:c>
    </x:row>
    <x:row r="21" ht="24" customHeight="1">
      <x:c r="A21" s="20"/>
      <x:c r="B21" s="20"/>
      <x:c r="C21" s="20"/>
      <x:c r="D21" s="20"/>
      <x:c r="E21" s="22"/>
      <x:c r="F21" s="23"/>
      <x:c r="G21" s="23"/>
      <x:c r="H21" s="26" t="str">
        <x:f>IF(A21="","",IF(COUNT(F21:G21)&lt;2,"",MAX(0,F21-G21)))</x:f>
      </x:c>
      <x:c r="I21" s="22"/>
      <x:c r="J21" s="28" t="str">
        <x:f>IF(A21="","",IF(I21&lt;&gt;"","Closed",IF(E21="","Set due date",IF(E21&lt;$A$6,"Overdue","Open"))))</x:f>
      </x:c>
    </x:row>
    <x:row r="22" ht="24" customHeight="1">
      <x:c r="A22" s="20"/>
      <x:c r="B22" s="20"/>
      <x:c r="C22" s="20"/>
      <x:c r="D22" s="20"/>
      <x:c r="E22" s="22"/>
      <x:c r="F22" s="23"/>
      <x:c r="G22" s="23"/>
      <x:c r="H22" s="26" t="str">
        <x:f>IF(A22="","",IF(COUNT(F22:G22)&lt;2,"",MAX(0,F22-G22)))</x:f>
      </x:c>
      <x:c r="I22" s="22"/>
      <x:c r="J22" s="28" t="str">
        <x:f>IF(A22="","",IF(I22&lt;&gt;"","Closed",IF(E22="","Set due date",IF(E22&lt;$A$6,"Overdue","Open"))))</x:f>
      </x:c>
    </x:row>
    <x:row r="23" ht="24" customHeight="1">
      <x:c r="A23" s="20"/>
      <x:c r="B23" s="20"/>
      <x:c r="C23" s="20"/>
      <x:c r="D23" s="20"/>
      <x:c r="E23" s="22"/>
      <x:c r="F23" s="23"/>
      <x:c r="G23" s="23"/>
      <x:c r="H23" s="26" t="str">
        <x:f>IF(A23="","",IF(COUNT(F23:G23)&lt;2,"",MAX(0,F23-G23)))</x:f>
      </x:c>
      <x:c r="I23" s="22"/>
      <x:c r="J23" s="28" t="str">
        <x:f>IF(A23="","",IF(I23&lt;&gt;"","Closed",IF(E23="","Set due date",IF(E23&lt;$A$6,"Overdue","Open"))))</x:f>
      </x:c>
    </x:row>
    <x:row r="24" ht="24" customHeight="1">
      <x:c r="A24" s="20"/>
      <x:c r="B24" s="20"/>
      <x:c r="C24" s="20"/>
      <x:c r="D24" s="20"/>
      <x:c r="E24" s="22"/>
      <x:c r="F24" s="23"/>
      <x:c r="G24" s="23"/>
      <x:c r="H24" s="26" t="str">
        <x:f>IF(A24="","",IF(COUNT(F24:G24)&lt;2,"",MAX(0,F24-G24)))</x:f>
      </x:c>
      <x:c r="I24" s="22"/>
      <x:c r="J24" s="28" t="str">
        <x:f>IF(A24="","",IF(I24&lt;&gt;"","Closed",IF(E24="","Set due date",IF(E24&lt;$A$6,"Overdue","Open"))))</x:f>
      </x:c>
    </x:row>
    <x:row r="25" ht="24" customHeight="1">
      <x:c r="A25" s="20"/>
      <x:c r="B25" s="20"/>
      <x:c r="C25" s="20"/>
      <x:c r="D25" s="20"/>
      <x:c r="E25" s="22"/>
      <x:c r="F25" s="23"/>
      <x:c r="G25" s="23"/>
      <x:c r="H25" s="26" t="str">
        <x:f>IF(A25="","",IF(COUNT(F25:G25)&lt;2,"",MAX(0,F25-G25)))</x:f>
      </x:c>
      <x:c r="I25" s="22"/>
      <x:c r="J25" s="28" t="str">
        <x:f>IF(A25="","",IF(I25&lt;&gt;"","Closed",IF(E25="","Set due date",IF(E25&lt;$A$6,"Overdue","Open"))))</x:f>
      </x:c>
    </x:row>
    <x:row r="26" ht="24" customHeight="1">
      <x:c r="A26" s="20"/>
      <x:c r="B26" s="20"/>
      <x:c r="C26" s="20"/>
      <x:c r="D26" s="20"/>
      <x:c r="E26" s="22"/>
      <x:c r="F26" s="23"/>
      <x:c r="G26" s="23"/>
      <x:c r="H26" s="26" t="str">
        <x:f>IF(A26="","",IF(COUNT(F26:G26)&lt;2,"",MAX(0,F26-G26)))</x:f>
      </x:c>
      <x:c r="I26" s="22"/>
      <x:c r="J26" s="28" t="str">
        <x:f>IF(A26="","",IF(I26&lt;&gt;"","Closed",IF(E26="","Set due date",IF(E26&lt;$A$6,"Overdue","Open"))))</x:f>
      </x:c>
    </x:row>
    <x:row r="27" ht="24" customHeight="1">
      <x:c r="A27" s="20"/>
      <x:c r="B27" s="20"/>
      <x:c r="C27" s="20"/>
      <x:c r="D27" s="20"/>
      <x:c r="E27" s="22"/>
      <x:c r="F27" s="23"/>
      <x:c r="G27" s="23"/>
      <x:c r="H27" s="26" t="str">
        <x:f>IF(A27="","",IF(COUNT(F27:G27)&lt;2,"",MAX(0,F27-G27)))</x:f>
      </x:c>
      <x:c r="I27" s="22"/>
      <x:c r="J27" s="28" t="str">
        <x:f>IF(A27="","",IF(I27&lt;&gt;"","Closed",IF(E27="","Set due date",IF(E27&lt;$A$6,"Overdue","Open"))))</x:f>
      </x:c>
    </x:row>
    <x:row r="28" ht="24" customHeight="1">
      <x:c r="A28" s="20"/>
      <x:c r="B28" s="20"/>
      <x:c r="C28" s="20"/>
      <x:c r="D28" s="20"/>
      <x:c r="E28" s="22"/>
      <x:c r="F28" s="23"/>
      <x:c r="G28" s="23"/>
      <x:c r="H28" s="26" t="str">
        <x:f>IF(A28="","",IF(COUNT(F28:G28)&lt;2,"",MAX(0,F28-G28)))</x:f>
      </x:c>
      <x:c r="I28" s="22"/>
      <x:c r="J28" s="28" t="str">
        <x:f>IF(A28="","",IF(I28&lt;&gt;"","Closed",IF(E28="","Set due date",IF(E28&lt;$A$6,"Overdue","Open"))))</x:f>
      </x:c>
    </x:row>
    <x:row r="29" ht="24" customHeight="1">
      <x:c r="A29" s="20"/>
      <x:c r="B29" s="20"/>
      <x:c r="C29" s="20"/>
      <x:c r="D29" s="20"/>
      <x:c r="E29" s="22"/>
      <x:c r="F29" s="23"/>
      <x:c r="G29" s="23"/>
      <x:c r="H29" s="26" t="str">
        <x:f>IF(A29="","",IF(COUNT(F29:G29)&lt;2,"",MAX(0,F29-G29)))</x:f>
      </x:c>
      <x:c r="I29" s="22"/>
      <x:c r="J29" s="28" t="str">
        <x:f>IF(A29="","",IF(I29&lt;&gt;"","Closed",IF(E29="","Set due date",IF(E29&lt;$A$6,"Overdue","Open"))))</x:f>
      </x:c>
    </x:row>
  </x:sheetData>
  <x:conditionalFormatting sqref="J10:J29">
    <x:cfRule type="containsText" dxfId="0" priority="1" operator="containsText" text="Overdue"/>
  </x:conditionalFormatting>
  <x:dataValidations count="2">
    <x:dataValidation type="decimal" operator="greaterThanOrEqual" sqref="F10:F29">
      <x:formula1>0</x:formula1>
    </x:dataValidation>
    <x:dataValidation type="decimal" operator="greaterThanOrEqual" sqref="G10:G2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9cfce381674086"/>
  </x:tableParts>
</x:worksheet>
</file>